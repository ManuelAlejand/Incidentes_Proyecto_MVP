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sers\MANUEL ALEJANDRO\Downloads\"/>
    </mc:Choice>
  </mc:AlternateContent>
  <xr:revisionPtr revIDLastSave="0" documentId="13_ncr:1_{315A02A0-A0B3-418E-B99C-E296B56E1A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Incidentes" sheetId="1" r:id="rId1"/>
    <sheet name="Componentes de Disponibilida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3" i="2" l="1"/>
</calcChain>
</file>

<file path=xl/sharedStrings.xml><?xml version="1.0" encoding="utf-8"?>
<sst xmlns="http://schemas.openxmlformats.org/spreadsheetml/2006/main" count="341" uniqueCount="135">
  <si>
    <t>Nombre del Proyecto</t>
  </si>
  <si>
    <t>Equipo Responsable</t>
  </si>
  <si>
    <t>Mes de Reporte</t>
  </si>
  <si>
    <t>Total SLAs</t>
  </si>
  <si>
    <t>SLAs Cumplidos</t>
  </si>
  <si>
    <t>SLAs Comprometidos</t>
  </si>
  <si>
    <t>Incidentes Críticos Totales</t>
  </si>
  <si>
    <t>MTTR Promedio (minutos)</t>
  </si>
  <si>
    <t>MTBF (horas)</t>
  </si>
  <si>
    <t>Tiempo Total de Operación (horas)</t>
  </si>
  <si>
    <t>Número de Fallas</t>
  </si>
  <si>
    <t>Tiempo de Solución por Ticket (minutos)</t>
  </si>
  <si>
    <t>Incidentes Recurrentes</t>
  </si>
  <si>
    <t>Incidentes por Error Operativo</t>
  </si>
  <si>
    <t>Incidentes por Base de Datos</t>
  </si>
  <si>
    <t>Incidentes por API Gateway</t>
  </si>
  <si>
    <t>Despliegues Totales</t>
  </si>
  <si>
    <t>Despliegues Exitosos</t>
  </si>
  <si>
    <t>Despliegues Fallidos</t>
  </si>
  <si>
    <t>Servicio del Incidente</t>
  </si>
  <si>
    <t>Descripción del Incidente</t>
  </si>
  <si>
    <t>Fuente del Incidente</t>
  </si>
  <si>
    <t>MTTR del Incidente (minutos)</t>
  </si>
  <si>
    <t>Fecha del Incidente</t>
  </si>
  <si>
    <t>Portal Bancolombia</t>
  </si>
  <si>
    <t>Equipo Alpha</t>
  </si>
  <si>
    <t>2025-01</t>
  </si>
  <si>
    <t>App Éxito Digital</t>
  </si>
  <si>
    <t>App Móvil</t>
  </si>
  <si>
    <t>Latencia excesiva en módulo de pagos</t>
  </si>
  <si>
    <t>Base de Datos</t>
  </si>
  <si>
    <t>2025-01-08 09:15</t>
  </si>
  <si>
    <t>E-commerce</t>
  </si>
  <si>
    <t>Timeout en API de autenticación</t>
  </si>
  <si>
    <t>API Gateway</t>
  </si>
  <si>
    <t>2025-01-12 14:30</t>
  </si>
  <si>
    <t>Portal Clientes</t>
  </si>
  <si>
    <t>Caída por agotamiento de memoria</t>
  </si>
  <si>
    <t>Servidor Web</t>
  </si>
  <si>
    <t>2025-01-19 22:00</t>
  </si>
  <si>
    <t>Error en sincronización de inventario</t>
  </si>
  <si>
    <t>Error Operativo</t>
  </si>
  <si>
    <t>2025-01-25 16:45</t>
  </si>
  <si>
    <t>Sistema EPM Facturación</t>
  </si>
  <si>
    <t>Equipo Beta</t>
  </si>
  <si>
    <t>Módulo Facturación</t>
  </si>
  <si>
    <t>Deadlock en transacciones concurrentes</t>
  </si>
  <si>
    <t>2025-01-10 03:20</t>
  </si>
  <si>
    <t>API Pagos</t>
  </si>
  <si>
    <t>Pérdida de conectividad con red interna</t>
  </si>
  <si>
    <t>Red Interna</t>
  </si>
  <si>
    <t>2025-01-21 11:00</t>
  </si>
  <si>
    <t>Rappi Logistics Engine</t>
  </si>
  <si>
    <t>Equipo Gamma</t>
  </si>
  <si>
    <t>Servicio de Rutas</t>
  </si>
  <si>
    <t>Degradación leve en cálculo de rutas</t>
  </si>
  <si>
    <t>Microservicio</t>
  </si>
  <si>
    <t>2025-01-17 18:30</t>
  </si>
  <si>
    <t>Claro Red Core</t>
  </si>
  <si>
    <t>Equipo Delta</t>
  </si>
  <si>
    <t>Core de Red</t>
  </si>
  <si>
    <t>Fallo en balanceador de carga principal</t>
  </si>
  <si>
    <t>Infraestructura</t>
  </si>
  <si>
    <t>2025-01-03 01:00</t>
  </si>
  <si>
    <t>BSS Billing</t>
  </si>
  <si>
    <t>Corrupción de datos en facturación masiva</t>
  </si>
  <si>
    <t>2025-01-05 08:45</t>
  </si>
  <si>
    <t>API Clientes</t>
  </si>
  <si>
    <t>Rate limiting mal configurado bloquea VIPs</t>
  </si>
  <si>
    <t>2025-01-09 13:20</t>
  </si>
  <si>
    <t>Portal Autogestión</t>
  </si>
  <si>
    <t>Caída total por deploy sin rollback</t>
  </si>
  <si>
    <t>2025-01-11 20:00</t>
  </si>
  <si>
    <t>Saturación de ancho de banda nodo norte</t>
  </si>
  <si>
    <t>2025-01-14 04:30</t>
  </si>
  <si>
    <t>Timeout masivo en consultas de historial</t>
  </si>
  <si>
    <t>2025-01-18 09:15</t>
  </si>
  <si>
    <t>Certificado SSL vencido en autenticación</t>
  </si>
  <si>
    <t>2025-01-22 07:00</t>
  </si>
  <si>
    <t>Sistema de Alarmas</t>
  </si>
  <si>
    <t>Fallo en monitoreo, alertas no disparadas</t>
  </si>
  <si>
    <t>2025-01-27 15:45</t>
  </si>
  <si>
    <t>Servicio</t>
  </si>
  <si>
    <t>Tipo de Componente</t>
  </si>
  <si>
    <t>Nombre del Componente</t>
  </si>
  <si>
    <t>Disponibilidad (%)</t>
  </si>
  <si>
    <t>Meta Disponibilidad (%)</t>
  </si>
  <si>
    <t>Core Bancario</t>
  </si>
  <si>
    <t>Oracle DB Primary</t>
  </si>
  <si>
    <t>Oracle DB Replica</t>
  </si>
  <si>
    <t>SO Windows</t>
  </si>
  <si>
    <t>Windows Server 2022 - App01</t>
  </si>
  <si>
    <t>SO Linux</t>
  </si>
  <si>
    <t>RHEL 8 - App02</t>
  </si>
  <si>
    <t>Capa Media</t>
  </si>
  <si>
    <t>WebLogic 14c</t>
  </si>
  <si>
    <t>PostgreSQL Prod</t>
  </si>
  <si>
    <t>Ubuntu 22.04 - Web01</t>
  </si>
  <si>
    <t>WAS Liberty</t>
  </si>
  <si>
    <t>MySQL Cluster</t>
  </si>
  <si>
    <t>Redis Cache</t>
  </si>
  <si>
    <t>Ubuntu 20.04 - API01</t>
  </si>
  <si>
    <t>WebLogic 12c</t>
  </si>
  <si>
    <t>MongoDB Atlas</t>
  </si>
  <si>
    <t>Windows Server 2019 - Web01</t>
  </si>
  <si>
    <t>CentOS 7 - API02</t>
  </si>
  <si>
    <t>PostgreSQL</t>
  </si>
  <si>
    <t>RHEL 7 - Web02</t>
  </si>
  <si>
    <t>Oracle DB 19c</t>
  </si>
  <si>
    <t>Oracle DB Standby</t>
  </si>
  <si>
    <t>Windows 2016 - Fact01</t>
  </si>
  <si>
    <t>WAS 9.0</t>
  </si>
  <si>
    <t>MySQL 8.0</t>
  </si>
  <si>
    <t>RHEL 8 - API01</t>
  </si>
  <si>
    <t>PostgreSQL 15</t>
  </si>
  <si>
    <t>Redis Sentinel</t>
  </si>
  <si>
    <t>Ubuntu 22.04 - Srv01</t>
  </si>
  <si>
    <t>Ubuntu 22.04 - Srv02</t>
  </si>
  <si>
    <t>WAS Liberty 22</t>
  </si>
  <si>
    <t>Oracle RAC Nodo1</t>
  </si>
  <si>
    <t>Oracle RAC Nodo2</t>
  </si>
  <si>
    <t>Oracle RAC Nodo3</t>
  </si>
  <si>
    <t>RHEL 8 - Core01</t>
  </si>
  <si>
    <t>RHEL 8 - Core02</t>
  </si>
  <si>
    <t>WebLogic 12c Cluster</t>
  </si>
  <si>
    <t>SQL Server 2019</t>
  </si>
  <si>
    <t>SQL Server Mirror</t>
  </si>
  <si>
    <t>Windows 2019 - Bill01</t>
  </si>
  <si>
    <t>Windows 2019 - Bill02</t>
  </si>
  <si>
    <t>WAS 8.5</t>
  </si>
  <si>
    <t>MongoDB 6.0</t>
  </si>
  <si>
    <t>Windows 2022 - Web01</t>
  </si>
  <si>
    <t>CentOS 8 - Web02</t>
  </si>
  <si>
    <t>PostgreSQL 14</t>
  </si>
  <si>
    <t>RHEL 7 - Mon01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</si>
</sst>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375623"/>
      </patternFill>
    </fill>
    <fill>
      <patternFill patternType="solid">
        <fgColor rgb="FFEAF1FB"/>
      </patternFill>
    </fill>
    <fill>
      <patternFill patternType="solid">
        <fgColor rgb="FFFFF9E6"/>
      </patternFill>
    </fill>
    <fill>
      <patternFill patternType="solid">
        <fgColor rgb="FFF0FFF4"/>
      </patternFill>
    </fill>
    <fill>
      <patternFill patternType="solid">
        <fgColor rgb="FFFFF0F0"/>
      </patternFill>
    </fill>
    <fill>
      <patternFill patternType="solid">
        <fgColor rgb="FFF5F0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topLeftCell="P1" workbookViewId="0">
      <pane ySplit="1" topLeftCell="A2" activePane="bottomLeft" state="frozen"/>
      <selection pane="bottomLeft" activeCell="AC8" sqref="AC8"/>
    </sheetView>
  </sheetViews>
  <sheetFormatPr baseColWidth="10" defaultColWidth="9.140625" defaultRowHeight="15" x14ac:dyDescent="0.25"/>
  <cols>
    <col min="1" max="1" width="26" customWidth="1"/>
    <col min="2" max="2" width="18" customWidth="1"/>
    <col min="3" max="3" width="16" customWidth="1"/>
    <col min="4" max="4" width="12" customWidth="1"/>
    <col min="5" max="5" width="14" customWidth="1"/>
    <col min="6" max="6" width="18" customWidth="1"/>
    <col min="7" max="7" width="22" customWidth="1"/>
    <col min="8" max="8" width="20" customWidth="1"/>
    <col min="9" max="9" width="14" customWidth="1"/>
    <col min="10" max="10" width="28" customWidth="1"/>
    <col min="11" max="11" width="16" customWidth="1"/>
    <col min="12" max="12" width="30" customWidth="1"/>
    <col min="13" max="13" width="22" customWidth="1"/>
    <col min="14" max="16" width="24" customWidth="1"/>
    <col min="17" max="19" width="18" customWidth="1"/>
    <col min="20" max="20" width="22" customWidth="1"/>
    <col min="21" max="21" width="40" customWidth="1"/>
    <col min="22" max="22" width="22" customWidth="1"/>
    <col min="23" max="24" width="20" customWidth="1"/>
  </cols>
  <sheetData>
    <row r="1" spans="1:24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5">
      <c r="A2" s="4" t="s">
        <v>24</v>
      </c>
      <c r="B2" s="4" t="s">
        <v>25</v>
      </c>
      <c r="C2" s="4" t="s">
        <v>26</v>
      </c>
      <c r="D2" s="4">
        <v>20</v>
      </c>
      <c r="E2" s="4">
        <v>20</v>
      </c>
      <c r="F2" s="4">
        <v>20</v>
      </c>
      <c r="G2" s="4">
        <v>0</v>
      </c>
      <c r="H2" s="4">
        <v>45</v>
      </c>
      <c r="I2" s="4">
        <v>240</v>
      </c>
      <c r="J2" s="4">
        <v>102</v>
      </c>
      <c r="K2" s="4">
        <v>3</v>
      </c>
      <c r="L2" s="4">
        <v>40</v>
      </c>
      <c r="M2" s="4">
        <v>0</v>
      </c>
      <c r="N2" s="4">
        <v>0</v>
      </c>
      <c r="O2" s="4">
        <v>0</v>
      </c>
      <c r="P2" s="4">
        <v>0</v>
      </c>
      <c r="Q2" s="4">
        <v>8</v>
      </c>
      <c r="R2" s="4">
        <v>8</v>
      </c>
      <c r="S2" s="4">
        <v>0</v>
      </c>
      <c r="T2" s="4"/>
      <c r="U2" s="4"/>
      <c r="V2" s="4"/>
      <c r="W2" s="4"/>
      <c r="X2" s="4"/>
    </row>
    <row r="3" spans="1:24" x14ac:dyDescent="0.25">
      <c r="A3" s="5" t="s">
        <v>27</v>
      </c>
      <c r="B3" s="5" t="s">
        <v>25</v>
      </c>
      <c r="C3" s="5" t="s">
        <v>26</v>
      </c>
      <c r="D3" s="5">
        <v>18</v>
      </c>
      <c r="E3" s="5">
        <v>14</v>
      </c>
      <c r="F3" s="5">
        <v>18</v>
      </c>
      <c r="G3" s="5">
        <v>1</v>
      </c>
      <c r="H3" s="5">
        <v>120</v>
      </c>
      <c r="I3" s="5">
        <v>48</v>
      </c>
      <c r="J3" s="5">
        <v>120</v>
      </c>
      <c r="K3" s="5">
        <v>0</v>
      </c>
      <c r="L3" s="5">
        <v>20</v>
      </c>
      <c r="M3" s="5">
        <v>0</v>
      </c>
      <c r="N3" s="5">
        <v>3</v>
      </c>
      <c r="O3" s="5">
        <v>2</v>
      </c>
      <c r="P3" s="5">
        <v>1</v>
      </c>
      <c r="Q3" s="5">
        <v>0</v>
      </c>
      <c r="R3" s="5">
        <v>0</v>
      </c>
      <c r="S3" s="5">
        <v>0</v>
      </c>
      <c r="T3" s="5" t="s">
        <v>28</v>
      </c>
      <c r="U3" s="5" t="s">
        <v>29</v>
      </c>
      <c r="V3" s="5" t="s">
        <v>30</v>
      </c>
      <c r="W3" s="5">
        <v>210</v>
      </c>
      <c r="X3" s="5" t="s">
        <v>31</v>
      </c>
    </row>
    <row r="4" spans="1:24" x14ac:dyDescent="0.25">
      <c r="A4" s="5" t="s">
        <v>27</v>
      </c>
      <c r="B4" s="5" t="s">
        <v>25</v>
      </c>
      <c r="C4" s="5" t="s">
        <v>26</v>
      </c>
      <c r="D4" s="5">
        <v>18</v>
      </c>
      <c r="E4" s="5">
        <v>14</v>
      </c>
      <c r="F4" s="5">
        <v>18</v>
      </c>
      <c r="G4" s="5">
        <v>0</v>
      </c>
      <c r="H4" s="5">
        <v>15</v>
      </c>
      <c r="I4" s="5">
        <v>50</v>
      </c>
      <c r="J4" s="5">
        <v>31</v>
      </c>
      <c r="K4" s="5">
        <v>4</v>
      </c>
      <c r="L4" s="5">
        <v>140</v>
      </c>
      <c r="M4" s="5">
        <v>8</v>
      </c>
      <c r="N4" s="5">
        <v>21</v>
      </c>
      <c r="O4" s="5">
        <v>4</v>
      </c>
      <c r="P4" s="5">
        <v>0</v>
      </c>
      <c r="Q4" s="5">
        <v>30</v>
      </c>
      <c r="R4" s="5">
        <v>12</v>
      </c>
      <c r="S4" s="5">
        <v>28</v>
      </c>
      <c r="T4" s="5" t="s">
        <v>32</v>
      </c>
      <c r="U4" s="5" t="s">
        <v>33</v>
      </c>
      <c r="V4" s="5" t="s">
        <v>34</v>
      </c>
      <c r="W4" s="5">
        <v>145</v>
      </c>
      <c r="X4" s="5" t="s">
        <v>35</v>
      </c>
    </row>
    <row r="5" spans="1:24" x14ac:dyDescent="0.25">
      <c r="A5" s="5" t="s">
        <v>27</v>
      </c>
      <c r="B5" s="5" t="s">
        <v>25</v>
      </c>
      <c r="C5" s="5" t="s">
        <v>26</v>
      </c>
      <c r="D5" s="5">
        <v>18</v>
      </c>
      <c r="E5" s="5">
        <v>14</v>
      </c>
      <c r="F5" s="5">
        <v>18</v>
      </c>
      <c r="G5" s="5">
        <v>4</v>
      </c>
      <c r="H5" s="5">
        <v>20</v>
      </c>
      <c r="I5" s="5">
        <v>2</v>
      </c>
      <c r="J5" s="5">
        <v>140</v>
      </c>
      <c r="K5" s="5">
        <v>0</v>
      </c>
      <c r="L5" s="5">
        <v>110</v>
      </c>
      <c r="M5" s="5">
        <v>4</v>
      </c>
      <c r="N5" s="5">
        <v>1</v>
      </c>
      <c r="O5" s="5">
        <v>3</v>
      </c>
      <c r="P5" s="5">
        <v>20</v>
      </c>
      <c r="Q5" s="5">
        <v>5</v>
      </c>
      <c r="R5" s="5">
        <v>3</v>
      </c>
      <c r="S5" s="5">
        <v>2</v>
      </c>
      <c r="T5" s="5" t="s">
        <v>36</v>
      </c>
      <c r="U5" s="5" t="s">
        <v>37</v>
      </c>
      <c r="V5" s="5" t="s">
        <v>38</v>
      </c>
      <c r="W5" s="5">
        <v>45</v>
      </c>
      <c r="X5" s="5" t="s">
        <v>39</v>
      </c>
    </row>
    <row r="6" spans="1:24" x14ac:dyDescent="0.25">
      <c r="A6" s="5" t="s">
        <v>27</v>
      </c>
      <c r="B6" s="5" t="s">
        <v>25</v>
      </c>
      <c r="C6" s="5" t="s">
        <v>26</v>
      </c>
      <c r="D6" s="5">
        <v>18</v>
      </c>
      <c r="E6" s="5">
        <v>14</v>
      </c>
      <c r="F6" s="5">
        <v>18</v>
      </c>
      <c r="G6" s="5">
        <v>3</v>
      </c>
      <c r="H6" s="5">
        <v>85</v>
      </c>
      <c r="I6" s="5">
        <v>3</v>
      </c>
      <c r="J6" s="5">
        <v>35</v>
      </c>
      <c r="K6" s="5">
        <v>3</v>
      </c>
      <c r="L6" s="5">
        <v>30</v>
      </c>
      <c r="M6" s="5">
        <v>5</v>
      </c>
      <c r="N6" s="5">
        <v>3</v>
      </c>
      <c r="O6" s="5">
        <v>1</v>
      </c>
      <c r="P6" s="5">
        <v>3</v>
      </c>
      <c r="Q6" s="5">
        <v>1</v>
      </c>
      <c r="R6" s="5">
        <v>1</v>
      </c>
      <c r="S6" s="5">
        <v>0</v>
      </c>
      <c r="T6" s="5" t="s">
        <v>28</v>
      </c>
      <c r="U6" s="5" t="s">
        <v>40</v>
      </c>
      <c r="V6" s="5" t="s">
        <v>41</v>
      </c>
      <c r="W6" s="5">
        <v>340</v>
      </c>
      <c r="X6" s="5" t="s">
        <v>42</v>
      </c>
    </row>
    <row r="7" spans="1:24" x14ac:dyDescent="0.25">
      <c r="A7" s="6" t="s">
        <v>43</v>
      </c>
      <c r="B7" s="6" t="s">
        <v>44</v>
      </c>
      <c r="C7" s="6" t="s">
        <v>26</v>
      </c>
      <c r="D7" s="6">
        <v>15</v>
      </c>
      <c r="E7" s="6">
        <v>13</v>
      </c>
      <c r="F7" s="6">
        <v>15</v>
      </c>
      <c r="G7" s="6">
        <v>4</v>
      </c>
      <c r="H7" s="6">
        <v>200</v>
      </c>
      <c r="I7" s="6">
        <v>20</v>
      </c>
      <c r="J7" s="6">
        <v>345</v>
      </c>
      <c r="K7" s="6">
        <v>10</v>
      </c>
      <c r="L7" s="6">
        <v>40</v>
      </c>
      <c r="M7" s="6">
        <v>8</v>
      </c>
      <c r="N7" s="6">
        <v>3</v>
      </c>
      <c r="O7" s="6">
        <v>5</v>
      </c>
      <c r="P7" s="6">
        <v>0</v>
      </c>
      <c r="Q7" s="6">
        <v>8</v>
      </c>
      <c r="R7" s="6">
        <v>5</v>
      </c>
      <c r="S7" s="6">
        <v>3</v>
      </c>
      <c r="T7" s="6" t="s">
        <v>45</v>
      </c>
      <c r="U7" s="6" t="s">
        <v>46</v>
      </c>
      <c r="V7" s="6" t="s">
        <v>30</v>
      </c>
      <c r="W7" s="6">
        <v>480</v>
      </c>
      <c r="X7" s="6" t="s">
        <v>47</v>
      </c>
    </row>
    <row r="8" spans="1:24" x14ac:dyDescent="0.25">
      <c r="A8" s="6" t="s">
        <v>43</v>
      </c>
      <c r="B8" s="6" t="s">
        <v>44</v>
      </c>
      <c r="C8" s="6" t="s">
        <v>26</v>
      </c>
      <c r="D8" s="6">
        <v>15</v>
      </c>
      <c r="E8" s="6">
        <v>13</v>
      </c>
      <c r="F8" s="6">
        <v>15</v>
      </c>
      <c r="G8" s="6">
        <v>6</v>
      </c>
      <c r="H8" s="6">
        <v>50</v>
      </c>
      <c r="I8" s="6">
        <v>36</v>
      </c>
      <c r="J8" s="6">
        <v>210</v>
      </c>
      <c r="K8" s="6">
        <v>32</v>
      </c>
      <c r="L8" s="6">
        <v>200</v>
      </c>
      <c r="M8" s="6">
        <v>3</v>
      </c>
      <c r="N8" s="6">
        <v>5</v>
      </c>
      <c r="O8" s="6">
        <v>1</v>
      </c>
      <c r="P8" s="6">
        <v>5</v>
      </c>
      <c r="Q8" s="6">
        <v>31</v>
      </c>
      <c r="R8" s="6">
        <v>3</v>
      </c>
      <c r="S8" s="6">
        <v>27</v>
      </c>
      <c r="T8" s="6" t="s">
        <v>48</v>
      </c>
      <c r="U8" s="6" t="s">
        <v>49</v>
      </c>
      <c r="V8" s="6" t="s">
        <v>50</v>
      </c>
      <c r="W8" s="6">
        <v>160</v>
      </c>
      <c r="X8" s="6" t="s">
        <v>51</v>
      </c>
    </row>
    <row r="9" spans="1:24" x14ac:dyDescent="0.25">
      <c r="A9" s="7" t="s">
        <v>52</v>
      </c>
      <c r="B9" s="7" t="s">
        <v>53</v>
      </c>
      <c r="C9" s="7" t="s">
        <v>26</v>
      </c>
      <c r="D9" s="7">
        <v>25</v>
      </c>
      <c r="E9" s="7">
        <v>22</v>
      </c>
      <c r="F9" s="7">
        <v>25</v>
      </c>
      <c r="G9" s="7">
        <v>11</v>
      </c>
      <c r="H9" s="7">
        <v>120</v>
      </c>
      <c r="I9" s="7">
        <v>80</v>
      </c>
      <c r="J9" s="7">
        <v>571</v>
      </c>
      <c r="K9" s="7">
        <v>4</v>
      </c>
      <c r="L9" s="7">
        <v>55</v>
      </c>
      <c r="M9" s="7">
        <v>1</v>
      </c>
      <c r="N9" s="7">
        <v>0</v>
      </c>
      <c r="O9" s="7">
        <v>0</v>
      </c>
      <c r="P9" s="7">
        <v>12</v>
      </c>
      <c r="Q9" s="7">
        <v>1</v>
      </c>
      <c r="R9" s="7">
        <v>0</v>
      </c>
      <c r="S9" s="7">
        <v>1</v>
      </c>
      <c r="T9" s="7" t="s">
        <v>54</v>
      </c>
      <c r="U9" s="7" t="s">
        <v>55</v>
      </c>
      <c r="V9" s="7" t="s">
        <v>56</v>
      </c>
      <c r="W9" s="7">
        <v>55</v>
      </c>
      <c r="X9" s="7" t="s">
        <v>57</v>
      </c>
    </row>
    <row r="10" spans="1:24" x14ac:dyDescent="0.25">
      <c r="A10" s="8" t="s">
        <v>58</v>
      </c>
      <c r="B10" s="8" t="s">
        <v>59</v>
      </c>
      <c r="C10" s="8" t="s">
        <v>26</v>
      </c>
      <c r="D10" s="8">
        <v>22</v>
      </c>
      <c r="E10" s="8">
        <v>10</v>
      </c>
      <c r="F10" s="8">
        <v>22</v>
      </c>
      <c r="G10" s="8">
        <v>12</v>
      </c>
      <c r="H10" s="8">
        <v>35</v>
      </c>
      <c r="I10" s="8">
        <v>32</v>
      </c>
      <c r="J10" s="8">
        <v>80</v>
      </c>
      <c r="K10" s="8">
        <v>0</v>
      </c>
      <c r="L10" s="8">
        <v>31</v>
      </c>
      <c r="M10" s="8">
        <v>4</v>
      </c>
      <c r="N10" s="8">
        <v>20</v>
      </c>
      <c r="O10" s="8">
        <v>10</v>
      </c>
      <c r="P10" s="8">
        <v>0</v>
      </c>
      <c r="Q10" s="8">
        <v>3</v>
      </c>
      <c r="R10" s="8">
        <v>1</v>
      </c>
      <c r="S10" s="8">
        <v>2</v>
      </c>
      <c r="T10" s="8" t="s">
        <v>60</v>
      </c>
      <c r="U10" s="8" t="s">
        <v>61</v>
      </c>
      <c r="V10" s="8" t="s">
        <v>62</v>
      </c>
      <c r="W10" s="8">
        <v>720</v>
      </c>
      <c r="X10" s="8" t="s">
        <v>63</v>
      </c>
    </row>
    <row r="11" spans="1:24" x14ac:dyDescent="0.25">
      <c r="A11" s="8" t="s">
        <v>58</v>
      </c>
      <c r="B11" s="8" t="s">
        <v>59</v>
      </c>
      <c r="C11" s="8" t="s">
        <v>26</v>
      </c>
      <c r="D11" s="8">
        <v>22</v>
      </c>
      <c r="E11" s="8">
        <v>10</v>
      </c>
      <c r="F11" s="8">
        <v>22</v>
      </c>
      <c r="G11" s="8">
        <v>6</v>
      </c>
      <c r="H11" s="8">
        <v>245</v>
      </c>
      <c r="I11" s="8">
        <v>10</v>
      </c>
      <c r="J11" s="8">
        <v>36</v>
      </c>
      <c r="K11" s="8">
        <v>0</v>
      </c>
      <c r="L11" s="8">
        <v>100</v>
      </c>
      <c r="M11" s="8">
        <v>6</v>
      </c>
      <c r="N11" s="8">
        <v>5</v>
      </c>
      <c r="O11" s="8">
        <v>51</v>
      </c>
      <c r="P11" s="8">
        <v>15</v>
      </c>
      <c r="Q11" s="8">
        <v>16</v>
      </c>
      <c r="R11" s="8">
        <v>15</v>
      </c>
      <c r="S11" s="8">
        <v>1</v>
      </c>
      <c r="T11" s="8" t="s">
        <v>64</v>
      </c>
      <c r="U11" s="8" t="s">
        <v>65</v>
      </c>
      <c r="V11" s="8" t="s">
        <v>30</v>
      </c>
      <c r="W11" s="8">
        <v>540</v>
      </c>
      <c r="X11" s="8" t="s">
        <v>66</v>
      </c>
    </row>
    <row r="12" spans="1:24" x14ac:dyDescent="0.25">
      <c r="A12" s="8" t="s">
        <v>58</v>
      </c>
      <c r="B12" s="8" t="s">
        <v>59</v>
      </c>
      <c r="C12" s="8" t="s">
        <v>26</v>
      </c>
      <c r="D12" s="8">
        <v>22</v>
      </c>
      <c r="E12" s="8">
        <v>10</v>
      </c>
      <c r="F12" s="8">
        <v>22</v>
      </c>
      <c r="G12" s="8">
        <v>3</v>
      </c>
      <c r="H12" s="8">
        <v>201</v>
      </c>
      <c r="I12" s="8">
        <v>0</v>
      </c>
      <c r="J12" s="8">
        <v>14</v>
      </c>
      <c r="K12" s="8">
        <v>3</v>
      </c>
      <c r="L12" s="8">
        <v>110</v>
      </c>
      <c r="M12" s="8">
        <v>0</v>
      </c>
      <c r="N12" s="8">
        <v>10</v>
      </c>
      <c r="O12" s="8">
        <v>3</v>
      </c>
      <c r="P12" s="8">
        <v>35</v>
      </c>
      <c r="Q12" s="8">
        <v>25</v>
      </c>
      <c r="R12" s="8">
        <v>20</v>
      </c>
      <c r="S12" s="8">
        <v>5</v>
      </c>
      <c r="T12" s="8" t="s">
        <v>67</v>
      </c>
      <c r="U12" s="8" t="s">
        <v>68</v>
      </c>
      <c r="V12" s="8" t="s">
        <v>34</v>
      </c>
      <c r="W12" s="8">
        <v>95</v>
      </c>
      <c r="X12" s="8" t="s">
        <v>69</v>
      </c>
    </row>
    <row r="13" spans="1:24" x14ac:dyDescent="0.25">
      <c r="A13" s="8" t="s">
        <v>58</v>
      </c>
      <c r="B13" s="8" t="s">
        <v>59</v>
      </c>
      <c r="C13" s="8" t="s">
        <v>26</v>
      </c>
      <c r="D13" s="8">
        <v>22</v>
      </c>
      <c r="E13" s="8">
        <v>10</v>
      </c>
      <c r="F13" s="8">
        <v>22</v>
      </c>
      <c r="G13" s="8">
        <v>1</v>
      </c>
      <c r="H13" s="8">
        <v>340</v>
      </c>
      <c r="I13" s="8">
        <v>13</v>
      </c>
      <c r="J13" s="8">
        <v>25</v>
      </c>
      <c r="K13" s="8">
        <v>8</v>
      </c>
      <c r="L13" s="8">
        <v>240</v>
      </c>
      <c r="M13" s="8">
        <v>0</v>
      </c>
      <c r="N13" s="8">
        <v>30</v>
      </c>
      <c r="O13" s="8">
        <v>20</v>
      </c>
      <c r="P13" s="8">
        <v>4</v>
      </c>
      <c r="Q13" s="8">
        <v>6</v>
      </c>
      <c r="R13" s="8">
        <v>4</v>
      </c>
      <c r="S13" s="8">
        <v>2</v>
      </c>
      <c r="T13" s="8" t="s">
        <v>70</v>
      </c>
      <c r="U13" s="8" t="s">
        <v>71</v>
      </c>
      <c r="V13" s="8" t="s">
        <v>41</v>
      </c>
      <c r="W13" s="8">
        <v>830</v>
      </c>
      <c r="X13" s="8" t="s">
        <v>72</v>
      </c>
    </row>
    <row r="14" spans="1:24" x14ac:dyDescent="0.25">
      <c r="A14" s="8" t="s">
        <v>58</v>
      </c>
      <c r="B14" s="8" t="s">
        <v>59</v>
      </c>
      <c r="C14" s="8" t="s">
        <v>26</v>
      </c>
      <c r="D14" s="8">
        <v>22</v>
      </c>
      <c r="E14" s="8">
        <v>10</v>
      </c>
      <c r="F14" s="8">
        <v>22</v>
      </c>
      <c r="G14" s="8">
        <v>0</v>
      </c>
      <c r="H14" s="8">
        <v>684</v>
      </c>
      <c r="I14" s="8">
        <v>15</v>
      </c>
      <c r="J14" s="8">
        <v>23</v>
      </c>
      <c r="K14" s="8">
        <v>10</v>
      </c>
      <c r="L14" s="8">
        <v>520</v>
      </c>
      <c r="M14" s="8">
        <v>20</v>
      </c>
      <c r="N14" s="8">
        <v>0</v>
      </c>
      <c r="O14" s="8">
        <v>10</v>
      </c>
      <c r="P14" s="8">
        <v>3</v>
      </c>
      <c r="Q14" s="8">
        <v>15</v>
      </c>
      <c r="R14" s="8">
        <v>12</v>
      </c>
      <c r="S14" s="8">
        <v>3</v>
      </c>
      <c r="T14" s="8" t="s">
        <v>60</v>
      </c>
      <c r="U14" s="8" t="s">
        <v>73</v>
      </c>
      <c r="V14" s="8" t="s">
        <v>62</v>
      </c>
      <c r="W14" s="8">
        <v>310</v>
      </c>
      <c r="X14" s="8" t="s">
        <v>74</v>
      </c>
    </row>
    <row r="15" spans="1:24" x14ac:dyDescent="0.25">
      <c r="A15" s="8" t="s">
        <v>58</v>
      </c>
      <c r="B15" s="8" t="s">
        <v>59</v>
      </c>
      <c r="C15" s="8" t="s">
        <v>26</v>
      </c>
      <c r="D15" s="8">
        <v>22</v>
      </c>
      <c r="E15" s="8">
        <v>10</v>
      </c>
      <c r="F15" s="8">
        <v>22</v>
      </c>
      <c r="G15" s="8">
        <v>0</v>
      </c>
      <c r="H15" s="8">
        <v>300</v>
      </c>
      <c r="I15" s="8">
        <v>10</v>
      </c>
      <c r="J15" s="8">
        <v>1</v>
      </c>
      <c r="K15" s="8">
        <v>11</v>
      </c>
      <c r="L15" s="8">
        <v>164</v>
      </c>
      <c r="M15" s="8">
        <v>15</v>
      </c>
      <c r="N15" s="8">
        <v>0</v>
      </c>
      <c r="O15" s="8">
        <v>1</v>
      </c>
      <c r="P15" s="8">
        <v>11</v>
      </c>
      <c r="Q15" s="8">
        <v>30</v>
      </c>
      <c r="R15" s="8">
        <v>20</v>
      </c>
      <c r="S15" s="8">
        <v>10</v>
      </c>
      <c r="T15" s="8" t="s">
        <v>64</v>
      </c>
      <c r="U15" s="8" t="s">
        <v>75</v>
      </c>
      <c r="V15" s="8" t="s">
        <v>30</v>
      </c>
      <c r="W15" s="8">
        <v>420</v>
      </c>
      <c r="X15" s="8" t="s">
        <v>76</v>
      </c>
    </row>
    <row r="16" spans="1:24" x14ac:dyDescent="0.25">
      <c r="A16" s="8" t="s">
        <v>58</v>
      </c>
      <c r="B16" s="8" t="s">
        <v>59</v>
      </c>
      <c r="C16" s="8" t="s">
        <v>26</v>
      </c>
      <c r="D16" s="8">
        <v>22</v>
      </c>
      <c r="E16" s="8">
        <v>10</v>
      </c>
      <c r="F16" s="8">
        <v>22</v>
      </c>
      <c r="G16" s="8">
        <v>4</v>
      </c>
      <c r="H16" s="8">
        <v>50</v>
      </c>
      <c r="I16" s="8">
        <v>8</v>
      </c>
      <c r="J16" s="8">
        <v>2</v>
      </c>
      <c r="K16" s="8">
        <v>4</v>
      </c>
      <c r="L16" s="8">
        <v>448</v>
      </c>
      <c r="M16" s="8">
        <v>10</v>
      </c>
      <c r="N16" s="8">
        <v>5</v>
      </c>
      <c r="O16" s="8">
        <v>3</v>
      </c>
      <c r="P16" s="8">
        <v>10</v>
      </c>
      <c r="Q16" s="8">
        <v>20</v>
      </c>
      <c r="R16" s="8">
        <v>10</v>
      </c>
      <c r="S16" s="8">
        <v>1</v>
      </c>
      <c r="T16" s="8" t="s">
        <v>67</v>
      </c>
      <c r="U16" s="8" t="s">
        <v>77</v>
      </c>
      <c r="V16" s="8" t="s">
        <v>38</v>
      </c>
      <c r="W16" s="8">
        <v>35</v>
      </c>
      <c r="X16" s="8" t="s">
        <v>78</v>
      </c>
    </row>
    <row r="17" spans="1:24" x14ac:dyDescent="0.25">
      <c r="A17" s="8" t="s">
        <v>58</v>
      </c>
      <c r="B17" s="8" t="s">
        <v>59</v>
      </c>
      <c r="C17" s="8" t="s">
        <v>26</v>
      </c>
      <c r="D17" s="8">
        <v>22</v>
      </c>
      <c r="E17" s="8">
        <v>10</v>
      </c>
      <c r="F17" s="8">
        <v>22</v>
      </c>
      <c r="G17" s="8">
        <v>2</v>
      </c>
      <c r="H17" s="8">
        <v>25</v>
      </c>
      <c r="I17" s="8">
        <v>30</v>
      </c>
      <c r="J17" s="8">
        <v>4</v>
      </c>
      <c r="K17" s="8">
        <v>5</v>
      </c>
      <c r="L17" s="8">
        <v>140</v>
      </c>
      <c r="M17" s="8">
        <v>4</v>
      </c>
      <c r="N17" s="8">
        <v>8</v>
      </c>
      <c r="O17" s="8">
        <v>0</v>
      </c>
      <c r="P17" s="8">
        <v>5</v>
      </c>
      <c r="Q17" s="8">
        <v>10</v>
      </c>
      <c r="R17" s="8">
        <v>3</v>
      </c>
      <c r="S17" s="8">
        <v>7</v>
      </c>
      <c r="T17" s="8" t="s">
        <v>79</v>
      </c>
      <c r="U17" s="8" t="s">
        <v>80</v>
      </c>
      <c r="V17" s="8" t="s">
        <v>41</v>
      </c>
      <c r="W17" s="8">
        <v>680</v>
      </c>
      <c r="X17" s="8" t="s">
        <v>81</v>
      </c>
    </row>
    <row r="18" spans="1:24" x14ac:dyDescent="0.25">
      <c r="A18" s="8" t="s">
        <v>58</v>
      </c>
      <c r="B18" s="8" t="s">
        <v>59</v>
      </c>
      <c r="C18" s="8" t="s">
        <v>26</v>
      </c>
      <c r="D18" s="8">
        <v>22</v>
      </c>
      <c r="E18" s="8">
        <v>10</v>
      </c>
      <c r="F18" s="8">
        <v>22</v>
      </c>
      <c r="G18" s="8">
        <v>4</v>
      </c>
      <c r="H18" s="8">
        <v>20</v>
      </c>
      <c r="I18" s="8">
        <v>2</v>
      </c>
      <c r="J18" s="8">
        <v>13</v>
      </c>
      <c r="K18" s="8">
        <v>3</v>
      </c>
      <c r="L18" s="8">
        <v>10</v>
      </c>
      <c r="M18" s="8">
        <v>3</v>
      </c>
      <c r="N18" s="8">
        <v>20</v>
      </c>
      <c r="O18" s="8">
        <v>0</v>
      </c>
      <c r="P18" s="8">
        <v>3</v>
      </c>
      <c r="Q18" s="8">
        <v>30</v>
      </c>
      <c r="R18" s="8">
        <v>13</v>
      </c>
      <c r="S18" s="8">
        <v>17</v>
      </c>
      <c r="T18" s="8" t="s">
        <v>67</v>
      </c>
      <c r="U18" s="8" t="s">
        <v>77</v>
      </c>
      <c r="V18" s="8" t="s">
        <v>38</v>
      </c>
      <c r="W18" s="8">
        <v>35</v>
      </c>
      <c r="X18" s="8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>
      <pane ySplit="1" topLeftCell="A26" activePane="bottomLeft" state="frozen"/>
      <selection pane="bottomLeft" activeCell="E42" sqref="E42"/>
    </sheetView>
  </sheetViews>
  <sheetFormatPr baseColWidth="10" defaultColWidth="9.140625" defaultRowHeight="15" x14ac:dyDescent="0.25"/>
  <cols>
    <col min="1" max="1" width="26" customWidth="1"/>
    <col min="2" max="2" width="24" customWidth="1"/>
    <col min="3" max="3" width="20" customWidth="1"/>
    <col min="4" max="4" width="32" customWidth="1"/>
    <col min="5" max="5" width="20" customWidth="1"/>
    <col min="6" max="6" width="22" customWidth="1"/>
  </cols>
  <sheetData>
    <row r="1" spans="1:6" ht="39.950000000000003" customHeight="1" x14ac:dyDescent="0.25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</row>
    <row r="2" spans="1:6" x14ac:dyDescent="0.25">
      <c r="A2" s="4" t="s">
        <v>24</v>
      </c>
      <c r="B2" s="4" t="s">
        <v>87</v>
      </c>
      <c r="C2" s="4" t="s">
        <v>30</v>
      </c>
      <c r="D2" s="4" t="s">
        <v>88</v>
      </c>
      <c r="E2" s="4">
        <v>99.98</v>
      </c>
      <c r="F2" s="4">
        <v>99.5</v>
      </c>
    </row>
    <row r="3" spans="1:6" x14ac:dyDescent="0.25">
      <c r="A3" s="4" t="s">
        <v>24</v>
      </c>
      <c r="B3" s="4" t="s">
        <v>87</v>
      </c>
      <c r="C3" s="4" t="s">
        <v>30</v>
      </c>
      <c r="D3" s="4" t="s">
        <v>89</v>
      </c>
      <c r="E3" s="4">
        <v>99.97</v>
      </c>
      <c r="F3" s="4">
        <v>99.5</v>
      </c>
    </row>
    <row r="4" spans="1:6" x14ac:dyDescent="0.25">
      <c r="A4" s="4" t="s">
        <v>24</v>
      </c>
      <c r="B4" s="4" t="s">
        <v>87</v>
      </c>
      <c r="C4" s="4" t="s">
        <v>90</v>
      </c>
      <c r="D4" s="4" t="s">
        <v>91</v>
      </c>
      <c r="E4" s="4">
        <v>100</v>
      </c>
      <c r="F4" s="4">
        <v>99.5</v>
      </c>
    </row>
    <row r="5" spans="1:6" x14ac:dyDescent="0.25">
      <c r="A5" s="4" t="s">
        <v>24</v>
      </c>
      <c r="B5" s="4" t="s">
        <v>87</v>
      </c>
      <c r="C5" s="4" t="s">
        <v>92</v>
      </c>
      <c r="D5" s="4" t="s">
        <v>93</v>
      </c>
      <c r="E5" s="4">
        <v>100</v>
      </c>
      <c r="F5" s="4">
        <v>99.5</v>
      </c>
    </row>
    <row r="6" spans="1:6" x14ac:dyDescent="0.25">
      <c r="A6" s="4" t="s">
        <v>24</v>
      </c>
      <c r="B6" s="4" t="s">
        <v>87</v>
      </c>
      <c r="C6" s="4" t="s">
        <v>94</v>
      </c>
      <c r="D6" s="4" t="s">
        <v>95</v>
      </c>
      <c r="E6" s="4">
        <v>99.95</v>
      </c>
      <c r="F6" s="4">
        <v>99.5</v>
      </c>
    </row>
    <row r="7" spans="1:6" x14ac:dyDescent="0.25">
      <c r="A7" s="4" t="s">
        <v>24</v>
      </c>
      <c r="B7" s="4" t="s">
        <v>36</v>
      </c>
      <c r="C7" s="4" t="s">
        <v>30</v>
      </c>
      <c r="D7" s="4" t="s">
        <v>96</v>
      </c>
      <c r="E7" s="4">
        <v>99.99</v>
      </c>
      <c r="F7" s="4">
        <v>99.5</v>
      </c>
    </row>
    <row r="8" spans="1:6" x14ac:dyDescent="0.25">
      <c r="A8" s="4" t="s">
        <v>24</v>
      </c>
      <c r="B8" s="4" t="s">
        <v>36</v>
      </c>
      <c r="C8" s="4" t="s">
        <v>92</v>
      </c>
      <c r="D8" s="4" t="s">
        <v>97</v>
      </c>
      <c r="E8" s="4">
        <v>100</v>
      </c>
      <c r="F8" s="4">
        <v>99.5</v>
      </c>
    </row>
    <row r="9" spans="1:6" x14ac:dyDescent="0.25">
      <c r="A9" s="4" t="s">
        <v>24</v>
      </c>
      <c r="B9" s="4" t="s">
        <v>36</v>
      </c>
      <c r="C9" s="4" t="s">
        <v>94</v>
      </c>
      <c r="D9" s="4" t="s">
        <v>98</v>
      </c>
      <c r="E9" s="4">
        <v>99.96</v>
      </c>
      <c r="F9" s="4">
        <v>99.5</v>
      </c>
    </row>
    <row r="10" spans="1:6" x14ac:dyDescent="0.25">
      <c r="A10" s="5" t="s">
        <v>27</v>
      </c>
      <c r="B10" s="5" t="s">
        <v>28</v>
      </c>
      <c r="C10" s="5" t="s">
        <v>30</v>
      </c>
      <c r="D10" s="5" t="s">
        <v>99</v>
      </c>
      <c r="E10" s="5">
        <v>97.2</v>
      </c>
      <c r="F10" s="5">
        <v>99</v>
      </c>
    </row>
    <row r="11" spans="1:6" x14ac:dyDescent="0.25">
      <c r="A11" s="5" t="s">
        <v>27</v>
      </c>
      <c r="B11" s="5" t="s">
        <v>28</v>
      </c>
      <c r="C11" s="5" t="s">
        <v>30</v>
      </c>
      <c r="D11" s="5" t="s">
        <v>100</v>
      </c>
      <c r="E11" s="5">
        <v>99.5</v>
      </c>
      <c r="F11" s="5">
        <v>99</v>
      </c>
    </row>
    <row r="12" spans="1:6" x14ac:dyDescent="0.25">
      <c r="A12" s="5" t="s">
        <v>27</v>
      </c>
      <c r="B12" s="5" t="s">
        <v>28</v>
      </c>
      <c r="C12" s="5" t="s">
        <v>92</v>
      </c>
      <c r="D12" s="5" t="s">
        <v>101</v>
      </c>
      <c r="E12" s="5">
        <v>99.1</v>
      </c>
      <c r="F12" s="5">
        <v>99</v>
      </c>
    </row>
    <row r="13" spans="1:6" x14ac:dyDescent="0.25">
      <c r="A13" s="5" t="s">
        <v>27</v>
      </c>
      <c r="B13" s="5" t="s">
        <v>28</v>
      </c>
      <c r="C13" s="5" t="s">
        <v>94</v>
      </c>
      <c r="D13" s="5" t="s">
        <v>102</v>
      </c>
      <c r="E13" s="5">
        <v>98.8</v>
      </c>
      <c r="F13" s="5">
        <v>99</v>
      </c>
    </row>
    <row r="14" spans="1:6" x14ac:dyDescent="0.25">
      <c r="A14" s="5" t="s">
        <v>27</v>
      </c>
      <c r="B14" s="5" t="s">
        <v>32</v>
      </c>
      <c r="C14" s="5" t="s">
        <v>30</v>
      </c>
      <c r="D14" s="5" t="s">
        <v>103</v>
      </c>
      <c r="E14" s="5">
        <v>99.3</v>
      </c>
      <c r="F14" s="5">
        <v>99</v>
      </c>
    </row>
    <row r="15" spans="1:6" x14ac:dyDescent="0.25">
      <c r="A15" s="5" t="s">
        <v>27</v>
      </c>
      <c r="B15" s="5" t="s">
        <v>32</v>
      </c>
      <c r="C15" s="5" t="s">
        <v>90</v>
      </c>
      <c r="D15" s="5" t="s">
        <v>104</v>
      </c>
      <c r="E15" s="5">
        <v>98.5</v>
      </c>
      <c r="F15" s="5">
        <v>99</v>
      </c>
    </row>
    <row r="16" spans="1:6" x14ac:dyDescent="0.25">
      <c r="A16" s="5" t="s">
        <v>27</v>
      </c>
      <c r="B16" s="5" t="s">
        <v>32</v>
      </c>
      <c r="C16" s="5" t="s">
        <v>92</v>
      </c>
      <c r="D16" s="5" t="s">
        <v>105</v>
      </c>
      <c r="E16" s="5">
        <v>99</v>
      </c>
      <c r="F16" s="5">
        <v>99</v>
      </c>
    </row>
    <row r="17" spans="1:6" x14ac:dyDescent="0.25">
      <c r="A17" s="5" t="s">
        <v>27</v>
      </c>
      <c r="B17" s="5" t="s">
        <v>36</v>
      </c>
      <c r="C17" s="5" t="s">
        <v>30</v>
      </c>
      <c r="D17" s="5" t="s">
        <v>106</v>
      </c>
      <c r="E17" s="5">
        <v>99.6</v>
      </c>
      <c r="F17" s="5">
        <v>99</v>
      </c>
    </row>
    <row r="18" spans="1:6" x14ac:dyDescent="0.25">
      <c r="A18" s="5" t="s">
        <v>27</v>
      </c>
      <c r="B18" s="5" t="s">
        <v>36</v>
      </c>
      <c r="C18" s="5" t="s">
        <v>92</v>
      </c>
      <c r="D18" s="5" t="s">
        <v>107</v>
      </c>
      <c r="E18" s="5">
        <v>99.8</v>
      </c>
      <c r="F18" s="5">
        <v>99</v>
      </c>
    </row>
    <row r="19" spans="1:6" x14ac:dyDescent="0.25">
      <c r="A19" s="6" t="s">
        <v>43</v>
      </c>
      <c r="B19" s="6" t="s">
        <v>45</v>
      </c>
      <c r="C19" s="6" t="s">
        <v>30</v>
      </c>
      <c r="D19" s="6" t="s">
        <v>108</v>
      </c>
      <c r="E19" s="6">
        <v>94.2</v>
      </c>
      <c r="F19" s="6">
        <v>99.5</v>
      </c>
    </row>
    <row r="20" spans="1:6" x14ac:dyDescent="0.25">
      <c r="A20" s="6" t="s">
        <v>43</v>
      </c>
      <c r="B20" s="6" t="s">
        <v>45</v>
      </c>
      <c r="C20" s="6" t="s">
        <v>30</v>
      </c>
      <c r="D20" s="6" t="s">
        <v>109</v>
      </c>
      <c r="E20" s="6">
        <v>96.1</v>
      </c>
      <c r="F20" s="6">
        <v>99.5</v>
      </c>
    </row>
    <row r="21" spans="1:6" x14ac:dyDescent="0.25">
      <c r="A21" s="6" t="s">
        <v>43</v>
      </c>
      <c r="B21" s="6" t="s">
        <v>45</v>
      </c>
      <c r="C21" s="6" t="s">
        <v>90</v>
      </c>
      <c r="D21" s="6" t="s">
        <v>110</v>
      </c>
      <c r="E21" s="6">
        <v>99.5</v>
      </c>
      <c r="F21" s="6">
        <v>99.5</v>
      </c>
    </row>
    <row r="22" spans="1:6" x14ac:dyDescent="0.25">
      <c r="A22" s="6" t="s">
        <v>43</v>
      </c>
      <c r="B22" s="6" t="s">
        <v>45</v>
      </c>
      <c r="C22" s="6" t="s">
        <v>94</v>
      </c>
      <c r="D22" s="6" t="s">
        <v>111</v>
      </c>
      <c r="E22" s="6">
        <v>98.9</v>
      </c>
      <c r="F22" s="6">
        <v>99.5</v>
      </c>
    </row>
    <row r="23" spans="1:6" x14ac:dyDescent="0.25">
      <c r="A23" s="6" t="s">
        <v>43</v>
      </c>
      <c r="B23" s="6" t="s">
        <v>48</v>
      </c>
      <c r="C23" s="6" t="s">
        <v>30</v>
      </c>
      <c r="D23" s="6" t="s">
        <v>112</v>
      </c>
      <c r="E23" s="6">
        <v>99.2</v>
      </c>
      <c r="F23" s="6">
        <v>99.5</v>
      </c>
    </row>
    <row r="24" spans="1:6" x14ac:dyDescent="0.25">
      <c r="A24" s="6" t="s">
        <v>43</v>
      </c>
      <c r="B24" s="6" t="s">
        <v>48</v>
      </c>
      <c r="C24" s="6" t="s">
        <v>92</v>
      </c>
      <c r="D24" s="6" t="s">
        <v>113</v>
      </c>
      <c r="E24" s="6">
        <v>99.7</v>
      </c>
      <c r="F24" s="6">
        <v>99.5</v>
      </c>
    </row>
    <row r="25" spans="1:6" x14ac:dyDescent="0.25">
      <c r="A25" s="6" t="s">
        <v>43</v>
      </c>
      <c r="B25" s="6" t="s">
        <v>48</v>
      </c>
      <c r="C25" s="6" t="s">
        <v>94</v>
      </c>
      <c r="D25" s="6" t="s">
        <v>95</v>
      </c>
      <c r="E25" s="6">
        <v>99.1</v>
      </c>
      <c r="F25" s="6">
        <v>99.5</v>
      </c>
    </row>
    <row r="26" spans="1:6" x14ac:dyDescent="0.25">
      <c r="A26" s="7" t="s">
        <v>52</v>
      </c>
      <c r="B26" s="7" t="s">
        <v>54</v>
      </c>
      <c r="C26" s="7" t="s">
        <v>30</v>
      </c>
      <c r="D26" s="7" t="s">
        <v>114</v>
      </c>
      <c r="E26" s="7">
        <v>99.8</v>
      </c>
      <c r="F26" s="7">
        <v>99</v>
      </c>
    </row>
    <row r="27" spans="1:6" x14ac:dyDescent="0.25">
      <c r="A27" s="7" t="s">
        <v>52</v>
      </c>
      <c r="B27" s="7" t="s">
        <v>54</v>
      </c>
      <c r="C27" s="7" t="s">
        <v>30</v>
      </c>
      <c r="D27" s="7" t="s">
        <v>115</v>
      </c>
      <c r="E27" s="7">
        <v>99.95</v>
      </c>
      <c r="F27" s="7">
        <v>99</v>
      </c>
    </row>
    <row r="28" spans="1:6" x14ac:dyDescent="0.25">
      <c r="A28" s="7" t="s">
        <v>52</v>
      </c>
      <c r="B28" s="7" t="s">
        <v>54</v>
      </c>
      <c r="C28" s="7" t="s">
        <v>92</v>
      </c>
      <c r="D28" s="7" t="s">
        <v>116</v>
      </c>
      <c r="E28" s="7">
        <v>99.9</v>
      </c>
      <c r="F28" s="7">
        <v>99</v>
      </c>
    </row>
    <row r="29" spans="1:6" x14ac:dyDescent="0.25">
      <c r="A29" s="7" t="s">
        <v>52</v>
      </c>
      <c r="B29" s="7" t="s">
        <v>54</v>
      </c>
      <c r="C29" s="7" t="s">
        <v>92</v>
      </c>
      <c r="D29" s="7" t="s">
        <v>117</v>
      </c>
      <c r="E29" s="7">
        <v>99.85</v>
      </c>
      <c r="F29" s="7">
        <v>99</v>
      </c>
    </row>
    <row r="30" spans="1:6" x14ac:dyDescent="0.25">
      <c r="A30" s="7" t="s">
        <v>52</v>
      </c>
      <c r="B30" s="7" t="s">
        <v>54</v>
      </c>
      <c r="C30" s="7" t="s">
        <v>94</v>
      </c>
      <c r="D30" s="7" t="s">
        <v>118</v>
      </c>
      <c r="E30" s="7">
        <v>99.75</v>
      </c>
      <c r="F30" s="7">
        <v>99</v>
      </c>
    </row>
    <row r="31" spans="1:6" x14ac:dyDescent="0.25">
      <c r="A31" s="8" t="s">
        <v>58</v>
      </c>
      <c r="B31" s="8" t="s">
        <v>60</v>
      </c>
      <c r="C31" s="8" t="s">
        <v>30</v>
      </c>
      <c r="D31" s="8" t="s">
        <v>119</v>
      </c>
      <c r="E31" s="8">
        <v>85.3</v>
      </c>
      <c r="F31" s="8">
        <v>99.5</v>
      </c>
    </row>
    <row r="32" spans="1:6" x14ac:dyDescent="0.25">
      <c r="A32" s="8" t="s">
        <v>58</v>
      </c>
      <c r="B32" s="8" t="s">
        <v>60</v>
      </c>
      <c r="C32" s="8" t="s">
        <v>30</v>
      </c>
      <c r="D32" s="8" t="s">
        <v>120</v>
      </c>
      <c r="E32" s="8">
        <v>87.1</v>
      </c>
      <c r="F32" s="8">
        <v>99.5</v>
      </c>
    </row>
    <row r="33" spans="1:8" x14ac:dyDescent="0.25">
      <c r="A33" s="8" t="s">
        <v>58</v>
      </c>
      <c r="B33" s="8" t="s">
        <v>60</v>
      </c>
      <c r="C33" s="8" t="s">
        <v>30</v>
      </c>
      <c r="D33" s="8" t="s">
        <v>121</v>
      </c>
      <c r="E33" s="8">
        <v>88.5</v>
      </c>
      <c r="F33" s="8">
        <v>99.5</v>
      </c>
    </row>
    <row r="34" spans="1:8" x14ac:dyDescent="0.25">
      <c r="A34" s="8" t="s">
        <v>58</v>
      </c>
      <c r="B34" s="8" t="s">
        <v>60</v>
      </c>
      <c r="C34" s="8" t="s">
        <v>92</v>
      </c>
      <c r="D34" s="8" t="s">
        <v>122</v>
      </c>
      <c r="E34" s="8">
        <v>90.2</v>
      </c>
      <c r="F34" s="8">
        <v>99.5</v>
      </c>
    </row>
    <row r="35" spans="1:8" x14ac:dyDescent="0.25">
      <c r="A35" s="8" t="s">
        <v>58</v>
      </c>
      <c r="B35" s="8" t="s">
        <v>60</v>
      </c>
      <c r="C35" s="8" t="s">
        <v>92</v>
      </c>
      <c r="D35" s="8" t="s">
        <v>123</v>
      </c>
      <c r="E35" s="8">
        <v>91.4</v>
      </c>
      <c r="F35" s="8">
        <v>99.5</v>
      </c>
    </row>
    <row r="36" spans="1:8" x14ac:dyDescent="0.25">
      <c r="A36" s="8" t="s">
        <v>58</v>
      </c>
      <c r="B36" s="8" t="s">
        <v>60</v>
      </c>
      <c r="C36" s="8" t="s">
        <v>94</v>
      </c>
      <c r="D36" s="8" t="s">
        <v>124</v>
      </c>
      <c r="E36" s="8">
        <v>88.7</v>
      </c>
      <c r="F36" s="8">
        <v>99.5</v>
      </c>
    </row>
    <row r="37" spans="1:8" x14ac:dyDescent="0.25">
      <c r="A37" s="8" t="s">
        <v>58</v>
      </c>
      <c r="B37" s="8" t="s">
        <v>64</v>
      </c>
      <c r="C37" s="8" t="s">
        <v>30</v>
      </c>
      <c r="D37" s="8" t="s">
        <v>125</v>
      </c>
      <c r="E37" s="8">
        <v>86.4</v>
      </c>
      <c r="F37" s="8">
        <v>99.5</v>
      </c>
    </row>
    <row r="38" spans="1:8" x14ac:dyDescent="0.25">
      <c r="A38" s="8" t="s">
        <v>58</v>
      </c>
      <c r="B38" s="8" t="s">
        <v>64</v>
      </c>
      <c r="C38" s="8" t="s">
        <v>30</v>
      </c>
      <c r="D38" s="8" t="s">
        <v>126</v>
      </c>
      <c r="E38" s="8">
        <v>89.2</v>
      </c>
      <c r="F38" s="8">
        <v>99.5</v>
      </c>
    </row>
    <row r="39" spans="1:8" x14ac:dyDescent="0.25">
      <c r="A39" s="8" t="s">
        <v>58</v>
      </c>
      <c r="B39" s="8" t="s">
        <v>64</v>
      </c>
      <c r="C39" s="8" t="s">
        <v>90</v>
      </c>
      <c r="D39" s="8" t="s">
        <v>127</v>
      </c>
      <c r="E39" s="8">
        <v>93.5</v>
      </c>
      <c r="F39" s="8">
        <v>99.5</v>
      </c>
    </row>
    <row r="40" spans="1:8" x14ac:dyDescent="0.25">
      <c r="A40" s="8" t="s">
        <v>58</v>
      </c>
      <c r="B40" s="8" t="s">
        <v>64</v>
      </c>
      <c r="C40" s="8" t="s">
        <v>90</v>
      </c>
      <c r="D40" s="8" t="s">
        <v>128</v>
      </c>
      <c r="E40" s="8">
        <v>92.8</v>
      </c>
      <c r="F40" s="8">
        <v>99.5</v>
      </c>
    </row>
    <row r="41" spans="1:8" x14ac:dyDescent="0.25">
      <c r="A41" s="8" t="s">
        <v>58</v>
      </c>
      <c r="B41" s="8" t="s">
        <v>64</v>
      </c>
      <c r="C41" s="8" t="s">
        <v>94</v>
      </c>
      <c r="D41" s="8" t="s">
        <v>129</v>
      </c>
      <c r="E41" s="8">
        <v>87.6</v>
      </c>
      <c r="F41" s="8">
        <v>99.5</v>
      </c>
    </row>
    <row r="42" spans="1:8" x14ac:dyDescent="0.25">
      <c r="A42" s="8" t="s">
        <v>58</v>
      </c>
      <c r="B42" s="8" t="s">
        <v>67</v>
      </c>
      <c r="C42" s="8" t="s">
        <v>30</v>
      </c>
      <c r="D42" s="8" t="s">
        <v>130</v>
      </c>
      <c r="E42" s="8">
        <v>91.3</v>
      </c>
      <c r="F42" s="8">
        <v>99.5</v>
      </c>
    </row>
    <row r="43" spans="1:8" x14ac:dyDescent="0.25">
      <c r="A43" s="8" t="s">
        <v>58</v>
      </c>
      <c r="B43" s="8" t="s">
        <v>67</v>
      </c>
      <c r="C43" s="8" t="s">
        <v>92</v>
      </c>
      <c r="D43" s="8" t="s">
        <v>101</v>
      </c>
      <c r="E43" s="8">
        <v>94.7</v>
      </c>
      <c r="F43" s="8">
        <v>99.5</v>
      </c>
      <c r="H43">
        <f>AVERAGE(E42:E44)</f>
        <v>92.266666666666666</v>
      </c>
    </row>
    <row r="44" spans="1:8" x14ac:dyDescent="0.25">
      <c r="A44" s="8" t="s">
        <v>58</v>
      </c>
      <c r="B44" s="8" t="s">
        <v>67</v>
      </c>
      <c r="C44" s="8" t="s">
        <v>94</v>
      </c>
      <c r="D44" s="8" t="s">
        <v>95</v>
      </c>
      <c r="E44" s="8">
        <v>90.8</v>
      </c>
      <c r="F44" s="8">
        <v>99.5</v>
      </c>
    </row>
    <row r="45" spans="1:8" x14ac:dyDescent="0.25">
      <c r="A45" s="8" t="s">
        <v>58</v>
      </c>
      <c r="B45" s="8" t="s">
        <v>70</v>
      </c>
      <c r="C45" s="8" t="s">
        <v>30</v>
      </c>
      <c r="D45" s="8" t="s">
        <v>112</v>
      </c>
      <c r="E45" s="8">
        <v>88.9</v>
      </c>
      <c r="F45" s="8">
        <v>99.5</v>
      </c>
    </row>
    <row r="46" spans="1:8" x14ac:dyDescent="0.25">
      <c r="A46" s="8" t="s">
        <v>58</v>
      </c>
      <c r="B46" s="8" t="s">
        <v>70</v>
      </c>
      <c r="C46" s="8" t="s">
        <v>90</v>
      </c>
      <c r="D46" s="8" t="s">
        <v>131</v>
      </c>
      <c r="E46" s="8">
        <v>92.1</v>
      </c>
      <c r="F46" s="8">
        <v>99.5</v>
      </c>
    </row>
    <row r="47" spans="1:8" x14ac:dyDescent="0.25">
      <c r="A47" s="8" t="s">
        <v>58</v>
      </c>
      <c r="B47" s="8" t="s">
        <v>70</v>
      </c>
      <c r="C47" s="8" t="s">
        <v>92</v>
      </c>
      <c r="D47" s="8" t="s">
        <v>132</v>
      </c>
      <c r="E47" s="8">
        <v>93.6</v>
      </c>
      <c r="F47" s="8">
        <v>99.5</v>
      </c>
    </row>
    <row r="48" spans="1:8" x14ac:dyDescent="0.25">
      <c r="A48" s="8" t="s">
        <v>58</v>
      </c>
      <c r="B48" s="8" t="s">
        <v>70</v>
      </c>
      <c r="C48" s="8" t="s">
        <v>94</v>
      </c>
      <c r="D48" s="8" t="s">
        <v>98</v>
      </c>
      <c r="E48" s="8">
        <v>89.4</v>
      </c>
      <c r="F48" s="8">
        <v>99.5</v>
      </c>
    </row>
    <row r="49" spans="1:6" x14ac:dyDescent="0.25">
      <c r="A49" s="8" t="s">
        <v>58</v>
      </c>
      <c r="B49" s="8" t="s">
        <v>79</v>
      </c>
      <c r="C49" s="8" t="s">
        <v>30</v>
      </c>
      <c r="D49" s="8" t="s">
        <v>133</v>
      </c>
      <c r="E49" s="8">
        <v>91.8</v>
      </c>
      <c r="F49" s="8">
        <v>99.5</v>
      </c>
    </row>
    <row r="50" spans="1:6" x14ac:dyDescent="0.25">
      <c r="A50" s="8" t="s">
        <v>58</v>
      </c>
      <c r="B50" s="8" t="s">
        <v>79</v>
      </c>
      <c r="C50" s="8" t="s">
        <v>92</v>
      </c>
      <c r="D50" s="8" t="s">
        <v>134</v>
      </c>
      <c r="E50" s="8">
        <v>95.2</v>
      </c>
      <c r="F50" s="8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Incidentes</vt:lpstr>
      <vt:lpstr>Componentes de Disponibilidad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Clavijo</cp:lastModifiedBy>
  <dcterms:created xsi:type="dcterms:W3CDTF">2026-04-23T19:12:56Z</dcterms:created>
  <dcterms:modified xsi:type="dcterms:W3CDTF">2026-04-23T21:22:19Z</dcterms:modified>
</cp:coreProperties>
</file>